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osts" sheetId="2" state="visible" r:id="rId2"/>
    <sheet name="Sponsorship" sheetId="3" state="visible" r:id="rId3"/>
    <sheet name="Scenarios" sheetId="4" state="visible" r:id="rId4"/>
  </sheets>
  <definedNames>
    <definedName name="_xlnm._FilterDatabase" localSheetId="0" hidden="1">'Inputs'!$A$1:$F$25</definedName>
    <definedName name="_xlnm._FilterDatabase" localSheetId="1" hidden="1">'Costs'!$A$1:$F$21</definedName>
    <definedName name="_xlnm._FilterDatabase" localSheetId="2" hidden="1">'Sponsorship'!$A$1:$F$14</definedName>
    <definedName name="_xlnm._FilterDatabase" localSheetId="3" hidden="1">'Scenarios'!$A$1:$F$10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 &quot;NOK&quot;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164" fontId="0" fillId="3" borderId="1" pivotButton="0" quotePrefix="0" xfId="0"/>
    <xf numFmtId="164" fontId="0" fillId="5" borderId="1" pivotButton="0" quotePrefix="0" xfId="0"/>
    <xf numFmtId="0" fontId="0" fillId="5" borderId="1" pivotButton="0" quotePrefix="0" xfId="0"/>
    <xf numFmtId="164" fontId="0" fillId="4" borderId="1" pivotButton="0" quotePrefix="0" xfId="0"/>
    <xf numFmtId="164" fontId="3" fillId="2" borderId="0" applyAlignment="1" pivotButton="0" quotePrefix="0" xfId="0">
      <alignment wrapText="1"/>
    </xf>
    <xf numFmtId="0" fontId="4" fillId="0" borderId="0" pivotButton="0" quotePrefix="0" xfId="0"/>
    <xf numFmtId="164" fontId="0" fillId="0" borderId="0" pivotButton="0" quotePrefix="0" xfId="0"/>
    <xf numFmtId="164" fontId="4" fillId="5" borderId="0" pivotButton="0" quotePrefix="0" xfId="0"/>
    <xf numFmtId="0" fontId="4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8" customWidth="1" min="3" max="3"/>
  </cols>
  <sheetData>
    <row r="1" ht="30" customHeight="1">
      <c r="A1" s="1" t="inlineStr">
        <is>
          <t>Event Budget Inputs</t>
        </is>
      </c>
    </row>
    <row r="2" ht="32" customHeight="1">
      <c r="A2" s="2" t="inlineStr">
        <is>
          <t>Edit yellow cells. Blue and green cells contain formulas or calculated outputs.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Event name</t>
        </is>
      </c>
      <c r="B5" s="5" t="inlineStr">
        <is>
          <t>Stavanger Student Golf Invitational</t>
        </is>
      </c>
      <c r="C5" s="4" t="inlineStr">
        <is>
          <t>Name used in the workbook</t>
        </is>
      </c>
    </row>
    <row r="6">
      <c r="A6" s="4" t="inlineStr">
        <is>
          <t>Venue</t>
        </is>
      </c>
      <c r="B6" s="5" t="inlineStr">
        <is>
          <t>Sola GK</t>
        </is>
      </c>
      <c r="C6" s="4" t="inlineStr">
        <is>
          <t>Course or venue</t>
        </is>
      </c>
    </row>
    <row r="7">
      <c r="A7" s="4" t="inlineStr">
        <is>
          <t>Total players</t>
        </is>
      </c>
      <c r="B7" s="5" t="n">
        <v>72</v>
      </c>
      <c r="C7" s="4" t="inlineStr">
        <is>
          <t>Maximum planned field</t>
        </is>
      </c>
    </row>
    <row r="8">
      <c r="A8" s="4" t="inlineStr">
        <is>
          <t>Company share</t>
        </is>
      </c>
      <c r="B8" s="6" t="n">
        <v>0.25</v>
      </c>
      <c r="C8" s="4" t="inlineStr">
        <is>
          <t>Share of places included in company packages</t>
        </is>
      </c>
    </row>
    <row r="9">
      <c r="A9" s="4" t="inlineStr">
        <is>
          <t>Company players</t>
        </is>
      </c>
      <c r="B9" s="7">
        <f>ROUND(B7*B8,0)</f>
        <v/>
      </c>
      <c r="C9" s="4" t="inlineStr">
        <is>
          <t>Calculated</t>
        </is>
      </c>
    </row>
    <row r="10">
      <c r="A10" s="4" t="inlineStr">
        <is>
          <t>Paying students</t>
        </is>
      </c>
      <c r="B10" s="7">
        <f>B7-B9</f>
        <v/>
      </c>
      <c r="C10" s="4" t="inlineStr">
        <is>
          <t>Calculated</t>
        </is>
      </c>
    </row>
    <row r="11">
      <c r="A11" s="4" t="inlineStr">
        <is>
          <t>Contingency rate</t>
        </is>
      </c>
      <c r="B11" s="6" t="n">
        <v>0.1</v>
      </c>
      <c r="C11" s="4" t="inlineStr">
        <is>
          <t>Applied to cash expenses</t>
        </is>
      </c>
    </row>
    <row r="12">
      <c r="A12" s="4" t="inlineStr">
        <is>
          <t>Target cash sponsorship</t>
        </is>
      </c>
      <c r="B12" s="8" t="n">
        <v>135000</v>
      </c>
      <c r="C12" s="4" t="inlineStr">
        <is>
          <t>Do not include in-kind prizes</t>
        </is>
      </c>
    </row>
    <row r="13">
      <c r="A13" s="4" t="inlineStr">
        <is>
          <t>Provisional student fee</t>
        </is>
      </c>
      <c r="B13" s="8" t="n">
        <v>900</v>
      </c>
      <c r="C13" s="4" t="inlineStr">
        <is>
          <t>Public registration price</t>
        </is>
      </c>
    </row>
    <row r="16">
      <c r="A16" s="3" t="inlineStr">
        <is>
          <t>Budget result</t>
        </is>
      </c>
      <c r="B16" s="3" t="inlineStr">
        <is>
          <t>Value</t>
        </is>
      </c>
      <c r="C16" s="3" t="inlineStr">
        <is>
          <t>Meaning</t>
        </is>
      </c>
    </row>
    <row r="17">
      <c r="A17" s="4" t="inlineStr">
        <is>
          <t>Expense subtotal</t>
        </is>
      </c>
      <c r="B17" s="9">
        <f>Costs!E19</f>
        <v/>
      </c>
      <c r="C17" s="4" t="inlineStr">
        <is>
          <t>Before contingency</t>
        </is>
      </c>
    </row>
    <row r="18">
      <c r="A18" s="4" t="inlineStr">
        <is>
          <t>Contingency</t>
        </is>
      </c>
      <c r="B18" s="9">
        <f>Costs!E20</f>
        <v/>
      </c>
      <c r="C18" s="4" t="inlineStr">
        <is>
          <t>Reserve for uncertainty</t>
        </is>
      </c>
    </row>
    <row r="19">
      <c r="A19" s="4" t="inlineStr">
        <is>
          <t>Working total</t>
        </is>
      </c>
      <c r="B19" s="9">
        <f>Costs!E21</f>
        <v/>
      </c>
      <c r="C19" s="4" t="inlineStr">
        <is>
          <t>Total cash requirement</t>
        </is>
      </c>
    </row>
    <row r="20">
      <c r="A20" s="4" t="inlineStr">
        <is>
          <t>Package revenue</t>
        </is>
      </c>
      <c r="B20" s="9">
        <f>Sponsorship!F10</f>
        <v/>
      </c>
      <c r="C20" s="4" t="inlineStr">
        <is>
          <t>Revenue from package allocation</t>
        </is>
      </c>
    </row>
    <row r="21">
      <c r="A21" s="4" t="inlineStr">
        <is>
          <t>Company places allocated</t>
        </is>
      </c>
      <c r="B21" s="10">
        <f>Sponsorship!E10</f>
        <v/>
      </c>
      <c r="C21" s="4" t="inlineStr">
        <is>
          <t>Must not exceed company-player capacity</t>
        </is>
      </c>
    </row>
    <row r="22">
      <c r="A22" s="4" t="inlineStr">
        <is>
          <t>Funding after package revenue</t>
        </is>
      </c>
      <c r="B22" s="9">
        <f>B19-B20</f>
        <v/>
      </c>
      <c r="C22" s="4" t="inlineStr">
        <is>
          <t>Amount remaining for student fees or other income</t>
        </is>
      </c>
    </row>
    <row r="23">
      <c r="A23" s="4" t="inlineStr">
        <is>
          <t>Break-even student fee</t>
        </is>
      </c>
      <c r="B23" s="9">
        <f>IF(B10=0,0,MAX(0,B22/B10))</f>
        <v/>
      </c>
      <c r="C23" s="4" t="inlineStr">
        <is>
          <t>Required fee using package revenue</t>
        </is>
      </c>
    </row>
    <row r="24">
      <c r="A24" s="4" t="inlineStr">
        <is>
          <t>Projected student revenue</t>
        </is>
      </c>
      <c r="B24" s="9">
        <f>B10*B13</f>
        <v/>
      </c>
      <c r="C24" s="4" t="inlineStr">
        <is>
          <t>At full attendance</t>
        </is>
      </c>
    </row>
    <row r="25">
      <c r="A25" s="4" t="inlineStr">
        <is>
          <t>Projected result</t>
        </is>
      </c>
      <c r="B25" s="9">
        <f>B20+B24-B19</f>
        <v/>
      </c>
      <c r="C25" s="4" t="inlineStr">
        <is>
          <t>Positive is surplus; negative is funding gap</t>
        </is>
      </c>
    </row>
  </sheetData>
  <autoFilter ref="A1:F25"/>
  <mergeCells count="2">
    <mergeCell ref="A2:F2"/>
    <mergeCell ref="A1:F1"/>
  </mergeCells>
  <conditionalFormatting sqref="B2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7" customWidth="1" min="4" max="4"/>
    <col width="19" customWidth="1" min="5" max="5"/>
    <col width="52" customWidth="1" min="6" max="6"/>
  </cols>
  <sheetData>
    <row r="1" ht="30" customHeight="1">
      <c r="A1" s="1" t="inlineStr">
        <is>
          <t>Event Costs</t>
        </is>
      </c>
    </row>
    <row r="2" ht="32" customHeight="1">
      <c r="A2" s="2" t="inlineStr">
        <is>
          <t>Enter quantities and unit costs. Use zero for sponsor-supplied items with no event cash expense.</t>
        </is>
      </c>
    </row>
    <row r="4">
      <c r="A4" s="3" t="inlineStr">
        <is>
          <t>Category</t>
        </is>
      </c>
      <c r="B4" s="3" t="inlineStr">
        <is>
          <t>Cost item</t>
        </is>
      </c>
      <c r="C4" s="3" t="inlineStr">
        <is>
          <t>Quantity</t>
        </is>
      </c>
      <c r="D4" s="3" t="inlineStr">
        <is>
          <t>Unit cost</t>
        </is>
      </c>
      <c r="E4" s="3" t="inlineStr">
        <is>
          <t>Total</t>
        </is>
      </c>
      <c r="F4" s="3" t="inlineStr">
        <is>
          <t>Status / notes</t>
        </is>
      </c>
    </row>
    <row r="5">
      <c r="A5" s="4" t="inlineStr">
        <is>
          <t>Venue</t>
        </is>
      </c>
      <c r="B5" s="4" t="inlineStr">
        <is>
          <t>Fixed venue charge</t>
        </is>
      </c>
      <c r="C5" s="5" t="n">
        <v>1</v>
      </c>
      <c r="D5" s="8" t="n">
        <v>17000</v>
      </c>
      <c r="E5" s="11">
        <f>C5*D5</f>
        <v/>
      </c>
      <c r="F5" s="4" t="inlineStr">
        <is>
          <t>Provided; confirm scope, VAT and terms</t>
        </is>
      </c>
    </row>
    <row r="6">
      <c r="A6" s="4" t="inlineStr">
        <is>
          <t>Golf</t>
        </is>
      </c>
      <c r="B6" s="4" t="inlineStr">
        <is>
          <t>Green fees</t>
        </is>
      </c>
      <c r="C6" s="5" t="n">
        <v>72</v>
      </c>
      <c r="D6" s="8" t="n">
        <v>900</v>
      </c>
      <c r="E6" s="11">
        <f>C6*D6</f>
        <v/>
      </c>
      <c r="F6" s="4" t="inlineStr">
        <is>
          <t>Provided; confirm VAT and minimum commitment</t>
        </is>
      </c>
    </row>
    <row r="7">
      <c r="A7" s="4" t="inlineStr">
        <is>
          <t>Food</t>
        </is>
      </c>
      <c r="B7" s="4" t="inlineStr">
        <is>
          <t>Dinner/food</t>
        </is>
      </c>
      <c r="C7" s="5" t="n">
        <v>72</v>
      </c>
      <c r="D7" s="8" t="n">
        <v>450</v>
      </c>
      <c r="E7" s="11">
        <f>C7*D7</f>
        <v/>
      </c>
      <c r="F7" s="4" t="inlineStr">
        <is>
          <t>Working midpoint of NOK 400-500</t>
        </is>
      </c>
    </row>
    <row r="8">
      <c r="A8" s="4" t="inlineStr">
        <is>
          <t>Food</t>
        </is>
      </c>
      <c r="B8" s="4" t="inlineStr">
        <is>
          <t>On-course refreshments</t>
        </is>
      </c>
      <c r="C8" s="5" t="n">
        <v>72</v>
      </c>
      <c r="D8" s="8" t="n">
        <v>100</v>
      </c>
      <c r="E8" s="11">
        <f>C8*D8</f>
        <v/>
      </c>
      <c r="F8" s="4" t="inlineStr">
        <is>
          <t>Planning allowance</t>
        </is>
      </c>
    </row>
    <row r="9">
      <c r="A9" s="4" t="inlineStr">
        <is>
          <t>Evening</t>
        </is>
      </c>
      <c r="B9" s="4" t="inlineStr">
        <is>
          <t>Dinner/afterparty room and AV</t>
        </is>
      </c>
      <c r="C9" s="5" t="n">
        <v>1</v>
      </c>
      <c r="D9" s="8" t="n">
        <v>10000</v>
      </c>
      <c r="E9" s="11">
        <f>C9*D9</f>
        <v/>
      </c>
      <c r="F9" s="4" t="inlineStr">
        <is>
          <t>Estimate; may be included in venue or catering</t>
        </is>
      </c>
    </row>
    <row r="10">
      <c r="A10" s="4" t="inlineStr">
        <is>
          <t>Prizes</t>
        </is>
      </c>
      <c r="B10" s="4" t="inlineStr">
        <is>
          <t>Competition and main prizes</t>
        </is>
      </c>
      <c r="C10" s="5" t="n">
        <v>1</v>
      </c>
      <c r="D10" s="8" t="n">
        <v>0</v>
      </c>
      <c r="E10" s="11">
        <f>C10*D10</f>
        <v/>
      </c>
      <c r="F10" s="4" t="inlineStr">
        <is>
          <t>Non-cash items supplied by sponsors</t>
        </is>
      </c>
    </row>
    <row r="11">
      <c r="A11" s="4" t="inlineStr">
        <is>
          <t>Production</t>
        </is>
      </c>
      <c r="B11" s="4" t="inlineStr">
        <is>
          <t>Signs, badges, scorecards and stands</t>
        </is>
      </c>
      <c r="C11" s="5" t="n">
        <v>1</v>
      </c>
      <c r="D11" s="8" t="n">
        <v>5000</v>
      </c>
      <c r="E11" s="11">
        <f>C11*D11</f>
        <v/>
      </c>
      <c r="F11" s="4" t="inlineStr">
        <is>
          <t>Planning allowance</t>
        </is>
      </c>
    </row>
    <row r="12">
      <c r="A12" s="4" t="inlineStr">
        <is>
          <t>Media</t>
        </is>
      </c>
      <c r="B12" s="4" t="inlineStr">
        <is>
          <t>Photographer/content</t>
        </is>
      </c>
      <c r="C12" s="5" t="n">
        <v>1</v>
      </c>
      <c r="D12" s="8" t="n">
        <v>8000</v>
      </c>
      <c r="E12" s="11">
        <f>C12*D12</f>
        <v/>
      </c>
      <c r="F12" s="4" t="inlineStr">
        <is>
          <t>Optional planning allowance</t>
        </is>
      </c>
    </row>
    <row r="13">
      <c r="A13" s="4" t="inlineStr">
        <is>
          <t>Compliance</t>
        </is>
      </c>
      <c r="B13" s="4" t="inlineStr">
        <is>
          <t>Insurance, first aid and permits</t>
        </is>
      </c>
      <c r="C13" s="5" t="n">
        <v>1</v>
      </c>
      <c r="D13" s="8" t="n">
        <v>5000</v>
      </c>
      <c r="E13" s="11">
        <f>C13*D13</f>
        <v/>
      </c>
      <c r="F13" s="4" t="inlineStr">
        <is>
          <t>Confirm organizer and venue coverage</t>
        </is>
      </c>
    </row>
    <row r="14">
      <c r="A14" s="4" t="inlineStr">
        <is>
          <t>Digital</t>
        </is>
      </c>
      <c r="B14" s="4" t="inlineStr">
        <is>
          <t>Website, payment and administration</t>
        </is>
      </c>
      <c r="C14" s="5" t="n">
        <v>1</v>
      </c>
      <c r="D14" s="8" t="n">
        <v>5000</v>
      </c>
      <c r="E14" s="11">
        <f>C14*D14</f>
        <v/>
      </c>
      <c r="F14" s="4" t="inlineStr">
        <is>
          <t>Excludes development labor</t>
        </is>
      </c>
    </row>
    <row r="15">
      <c r="A15" s="4" t="inlineStr">
        <is>
          <t>Operations</t>
        </is>
      </c>
      <c r="B15" s="4" t="inlineStr">
        <is>
          <t>Event staff/volunteer expenses</t>
        </is>
      </c>
      <c r="C15" s="5" t="n">
        <v>1</v>
      </c>
      <c r="D15" s="8" t="n">
        <v>6000</v>
      </c>
      <c r="E15" s="11">
        <f>C15*D15</f>
        <v/>
      </c>
      <c r="F15" s="4" t="inlineStr">
        <is>
          <t>Confirm staffing plan</t>
        </is>
      </c>
    </row>
    <row r="16">
      <c r="A16" s="4" t="inlineStr">
        <is>
          <t>Logistics</t>
        </is>
      </c>
      <c r="B16" s="4" t="inlineStr">
        <is>
          <t>Local transport and miscellaneous</t>
        </is>
      </c>
      <c r="C16" s="5" t="n">
        <v>1</v>
      </c>
      <c r="D16" s="8" t="n">
        <v>3000</v>
      </c>
      <c r="E16" s="11">
        <f>C16*D16</f>
        <v/>
      </c>
      <c r="F16" s="4" t="inlineStr">
        <is>
          <t>Planning allowance</t>
        </is>
      </c>
    </row>
    <row r="17">
      <c r="A17" s="4" t="inlineStr">
        <is>
          <t>Other</t>
        </is>
      </c>
      <c r="B17" s="4" t="inlineStr">
        <is>
          <t>Other expense 1</t>
        </is>
      </c>
      <c r="C17" s="5" t="n">
        <v>1</v>
      </c>
      <c r="D17" s="8" t="n">
        <v>0</v>
      </c>
      <c r="E17" s="11">
        <f>C17*D17</f>
        <v/>
      </c>
      <c r="F17" s="4" t="inlineStr">
        <is>
          <t>Unused allowance</t>
        </is>
      </c>
    </row>
    <row r="18">
      <c r="A18" s="4" t="inlineStr">
        <is>
          <t>Other</t>
        </is>
      </c>
      <c r="B18" s="4" t="inlineStr">
        <is>
          <t>Other expense 2</t>
        </is>
      </c>
      <c r="C18" s="5" t="n">
        <v>1</v>
      </c>
      <c r="D18" s="8" t="n">
        <v>0</v>
      </c>
      <c r="E18" s="11">
        <f>C18*D18</f>
        <v/>
      </c>
      <c r="F18" s="4" t="inlineStr">
        <is>
          <t>Unused allowance</t>
        </is>
      </c>
    </row>
    <row r="19">
      <c r="A19" s="3" t="inlineStr"/>
      <c r="B19" s="3" t="inlineStr">
        <is>
          <t>Subtotal</t>
        </is>
      </c>
      <c r="C19" s="3" t="inlineStr"/>
      <c r="D19" s="12" t="inlineStr"/>
      <c r="E19" s="12">
        <f>SUM(E5:E18)</f>
        <v/>
      </c>
      <c r="F19" s="3" t="inlineStr"/>
    </row>
    <row r="20">
      <c r="B20" s="13" t="inlineStr">
        <is>
          <t>Contingency</t>
        </is>
      </c>
      <c r="D20" s="14" t="n"/>
      <c r="E20" s="15">
        <f>E19*Inputs!B11</f>
        <v/>
      </c>
    </row>
    <row r="21">
      <c r="B21" s="13" t="inlineStr">
        <is>
          <t>Working total</t>
        </is>
      </c>
      <c r="D21" s="14" t="n"/>
      <c r="E21" s="15">
        <f>E19+E20</f>
        <v/>
      </c>
    </row>
  </sheetData>
  <autoFilter ref="A1:F21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17" customWidth="1" min="4" max="4"/>
    <col width="20" customWidth="1" min="5" max="5"/>
    <col width="20" customWidth="1" min="6" max="6"/>
  </cols>
  <sheetData>
    <row r="1" ht="30" customHeight="1">
      <c r="A1" s="1" t="inlineStr">
        <is>
          <t>Sponsorship Packages</t>
        </is>
      </c>
    </row>
    <row r="2" ht="32" customHeight="1">
      <c r="A2" s="2" t="inlineStr">
        <is>
          <t>Package places are included benefits, not free event capacity. In-kind prizes are excluded from cash revenue.</t>
        </is>
      </c>
    </row>
    <row r="4">
      <c r="A4" s="3" t="inlineStr">
        <is>
          <t>Package</t>
        </is>
      </c>
      <c r="B4" s="3" t="inlineStr">
        <is>
          <t>Price</t>
        </is>
      </c>
      <c r="C4" s="3" t="inlineStr">
        <is>
          <t>Players included</t>
        </is>
      </c>
      <c r="D4" s="3" t="inlineStr">
        <is>
          <t>Packages sold</t>
        </is>
      </c>
      <c r="E4" s="3" t="inlineStr">
        <is>
          <t>Places allocated</t>
        </is>
      </c>
      <c r="F4" s="3" t="inlineStr">
        <is>
          <t>Cash revenue</t>
        </is>
      </c>
    </row>
    <row r="5">
      <c r="A5" s="4" t="inlineStr">
        <is>
          <t>Title Partner</t>
        </is>
      </c>
      <c r="B5" s="8" t="n">
        <v>30000</v>
      </c>
      <c r="C5" s="5" t="n">
        <v>4</v>
      </c>
      <c r="D5" s="5" t="n">
        <v>1</v>
      </c>
      <c r="E5" s="7">
        <f>C5*D5</f>
        <v/>
      </c>
      <c r="F5" s="11">
        <f>B5*D5</f>
        <v/>
      </c>
    </row>
    <row r="6">
      <c r="A6" s="4" t="inlineStr">
        <is>
          <t>Company Partner</t>
        </is>
      </c>
      <c r="B6" s="8" t="n">
        <v>15000</v>
      </c>
      <c r="C6" s="5" t="n">
        <v>2</v>
      </c>
      <c r="D6" s="5" t="n">
        <v>5</v>
      </c>
      <c r="E6" s="7">
        <f>C6*D6</f>
        <v/>
      </c>
      <c r="F6" s="11">
        <f>B6*D6</f>
        <v/>
      </c>
    </row>
    <row r="7">
      <c r="A7" s="4" t="inlineStr">
        <is>
          <t>Supporting Partner</t>
        </is>
      </c>
      <c r="B7" s="8" t="n">
        <v>7500</v>
      </c>
      <c r="C7" s="5" t="n">
        <v>1</v>
      </c>
      <c r="D7" s="5" t="n">
        <v>4</v>
      </c>
      <c r="E7" s="7">
        <f>C7*D7</f>
        <v/>
      </c>
      <c r="F7" s="11">
        <f>B7*D7</f>
        <v/>
      </c>
    </row>
    <row r="8">
      <c r="A8" s="4" t="inlineStr">
        <is>
          <t>Additional Package</t>
        </is>
      </c>
      <c r="B8" s="8" t="n">
        <v>0</v>
      </c>
      <c r="C8" s="5" t="n">
        <v>0</v>
      </c>
      <c r="D8" s="5" t="n">
        <v>0</v>
      </c>
      <c r="E8" s="7">
        <f>C8*D8</f>
        <v/>
      </c>
      <c r="F8" s="11">
        <f>B8*D8</f>
        <v/>
      </c>
    </row>
    <row r="9">
      <c r="A9" s="4" t="inlineStr">
        <is>
          <t>Additional Package</t>
        </is>
      </c>
      <c r="B9" s="8" t="n">
        <v>0</v>
      </c>
      <c r="C9" s="5" t="n">
        <v>0</v>
      </c>
      <c r="D9" s="5" t="n">
        <v>0</v>
      </c>
      <c r="E9" s="7">
        <f>C9*D9</f>
        <v/>
      </c>
      <c r="F9" s="11">
        <f>B9*D9</f>
        <v/>
      </c>
    </row>
    <row r="10">
      <c r="A10" s="16" t="inlineStr">
        <is>
          <t>TOTAL</t>
        </is>
      </c>
      <c r="B10" s="16" t="n"/>
      <c r="C10" s="16" t="n"/>
      <c r="D10" s="16" t="n"/>
      <c r="E10" s="16">
        <f>SUM(E5:E9)</f>
        <v/>
      </c>
      <c r="F10" s="15">
        <f>SUM(F5:F9)</f>
        <v/>
      </c>
    </row>
    <row r="12">
      <c r="A12" t="inlineStr">
        <is>
          <t>Company-player capacity</t>
        </is>
      </c>
      <c r="E12">
        <f>Inputs!B8</f>
        <v/>
      </c>
    </row>
    <row r="13">
      <c r="A13" t="inlineStr">
        <is>
          <t>Unallocated / overallocated places</t>
        </is>
      </c>
      <c r="E13">
        <f>E12-E10</f>
        <v/>
      </c>
    </row>
    <row r="14">
      <c r="A14" t="inlineStr">
        <is>
          <t>Direct event cost per player</t>
        </is>
      </c>
      <c r="E14" s="14">
        <f>SUMIF(Costs!B5:B18,"Green fees",Costs!D5:D18)+SUMIF(Costs!B5:B18,"Dinner/food",Costs!D5:D18)+SUMIF(Costs!B5:B18,"On-course refreshments",Costs!D5:D18)+SUMIF(Costs!B5:B18,"Range balls",Costs!D5:D18)+SUMIF(Costs!B5:B18,"Dinner soft drinks and coffee",Costs!D5:D18)</f>
        <v/>
      </c>
    </row>
  </sheetData>
  <autoFilter ref="A1:F14"/>
  <mergeCells count="2">
    <mergeCell ref="A2:F2"/>
    <mergeCell ref="A1:F1"/>
  </mergeCells>
  <conditionalFormatting sqref="E13">
    <cfRule type="cellIs" priority="1" operator="lessThan" dxfId="0">
      <formula>0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8" customWidth="1" min="4" max="4"/>
    <col width="28" customWidth="1" min="5" max="5"/>
    <col width="35" customWidth="1" min="6" max="6"/>
  </cols>
  <sheetData>
    <row r="1" ht="30" customHeight="1">
      <c r="A1" s="1" t="inlineStr">
        <is>
          <t>Student Fee Scenarios</t>
        </is>
      </c>
    </row>
    <row r="2" ht="32" customHeight="1">
      <c r="A2" s="2" t="inlineStr">
        <is>
          <t>Change sponsorship values in column A to compare the required fee for paying students.</t>
        </is>
      </c>
    </row>
    <row r="4">
      <c r="A4" s="3" t="inlineStr">
        <is>
          <t>Cash sponsorship</t>
        </is>
      </c>
      <c r="B4" s="3" t="inlineStr">
        <is>
          <t>Working total</t>
        </is>
      </c>
      <c r="C4" s="3" t="inlineStr">
        <is>
          <t>Remaining funding</t>
        </is>
      </c>
      <c r="D4" s="3" t="inlineStr">
        <is>
          <t>Paying students</t>
        </is>
      </c>
      <c r="E4" s="3" t="inlineStr">
        <is>
          <t>Break-even fee per student</t>
        </is>
      </c>
      <c r="F4" s="3" t="inlineStr">
        <is>
          <t>Notes</t>
        </is>
      </c>
    </row>
    <row r="5">
      <c r="A5" s="8" t="n">
        <v>0</v>
      </c>
      <c r="B5" s="11">
        <f>Costs!E21</f>
        <v/>
      </c>
      <c r="C5" s="11">
        <f>MAX(0,B5-A5)</f>
        <v/>
      </c>
      <c r="D5" s="4">
        <f>Inputs!B10</f>
        <v/>
      </c>
      <c r="E5" s="11">
        <f>IF(D5=0,0,C5/D5)</f>
        <v/>
      </c>
      <c r="F5" s="4" t="n"/>
    </row>
    <row r="6">
      <c r="A6" s="8" t="n">
        <v>50000</v>
      </c>
      <c r="B6" s="11">
        <f>Costs!E21</f>
        <v/>
      </c>
      <c r="C6" s="11">
        <f>MAX(0,B6-A6)</f>
        <v/>
      </c>
      <c r="D6" s="4">
        <f>Inputs!B10</f>
        <v/>
      </c>
      <c r="E6" s="11">
        <f>IF(D6=0,0,C6/D6)</f>
        <v/>
      </c>
      <c r="F6" s="4" t="n"/>
    </row>
    <row r="7">
      <c r="A7" s="8" t="n">
        <v>75000</v>
      </c>
      <c r="B7" s="11">
        <f>Costs!E21</f>
        <v/>
      </c>
      <c r="C7" s="11">
        <f>MAX(0,B7-A7)</f>
        <v/>
      </c>
      <c r="D7" s="4">
        <f>Inputs!B10</f>
        <v/>
      </c>
      <c r="E7" s="11">
        <f>IF(D7=0,0,C7/D7)</f>
        <v/>
      </c>
      <c r="F7" s="4" t="n"/>
    </row>
    <row r="8">
      <c r="A8" s="8" t="n">
        <v>100000</v>
      </c>
      <c r="B8" s="11">
        <f>Costs!E21</f>
        <v/>
      </c>
      <c r="C8" s="11">
        <f>MAX(0,B8-A8)</f>
        <v/>
      </c>
      <c r="D8" s="4">
        <f>Inputs!B10</f>
        <v/>
      </c>
      <c r="E8" s="11">
        <f>IF(D8=0,0,C8/D8)</f>
        <v/>
      </c>
      <c r="F8" s="4" t="n"/>
    </row>
    <row r="9">
      <c r="A9" s="8" t="n">
        <v>125000</v>
      </c>
      <c r="B9" s="11">
        <f>Costs!E21</f>
        <v/>
      </c>
      <c r="C9" s="11">
        <f>MAX(0,B9-A9)</f>
        <v/>
      </c>
      <c r="D9" s="4">
        <f>Inputs!B10</f>
        <v/>
      </c>
      <c r="E9" s="11">
        <f>IF(D9=0,0,C9/D9)</f>
        <v/>
      </c>
      <c r="F9" s="4" t="n"/>
    </row>
    <row r="10">
      <c r="A10" s="8" t="n">
        <v>135000</v>
      </c>
      <c r="B10" s="11">
        <f>Costs!E21</f>
        <v/>
      </c>
      <c r="C10" s="11">
        <f>MAX(0,B10-A10)</f>
        <v/>
      </c>
      <c r="D10" s="4">
        <f>Inputs!B10</f>
        <v/>
      </c>
      <c r="E10" s="11">
        <f>IF(D10=0,0,C10/D10)</f>
        <v/>
      </c>
      <c r="F10" s="4" t="n"/>
    </row>
  </sheetData>
  <autoFilter ref="A1:F10"/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2026-08-04T20:36:35Z</dcterms:created>
  <dcterms:modified xsi:type="dcterms:W3CDTF">2026-08-04T20:36:35Z</dcterms:modified>
</cp:coreProperties>
</file>