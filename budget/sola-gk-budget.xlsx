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rcusgrude-grodem/Documents/GitHub/GolfTurnering/budget/"/>
    </mc:Choice>
  </mc:AlternateContent>
  <xr:revisionPtr revIDLastSave="0" documentId="13_ncr:1_{3BBF3F1B-0C0E-0749-B905-573A9E1D2577}" xr6:coauthVersionLast="47" xr6:coauthVersionMax="47" xr10:uidLastSave="{00000000-0000-0000-0000-000000000000}"/>
  <bookViews>
    <workbookView xWindow="0" yWindow="500" windowWidth="28800" windowHeight="15760" xr2:uid="{00000000-000D-0000-FFFF-FFFF00000000}"/>
  </bookViews>
  <sheets>
    <sheet name="Inputs" sheetId="1" r:id="rId1"/>
    <sheet name="Costs" sheetId="2" r:id="rId2"/>
    <sheet name="Sponsorship" sheetId="3" r:id="rId3"/>
    <sheet name="Scenarios" sheetId="4" r:id="rId4"/>
  </sheets>
  <definedNames>
    <definedName name="_xlnm._FilterDatabase" localSheetId="1" hidden="1">Costs!$A$1:$F$21</definedName>
    <definedName name="_xlnm._FilterDatabase" localSheetId="0" hidden="1">Inputs!$A$1:$F$25</definedName>
    <definedName name="_xlnm._FilterDatabase" localSheetId="3" hidden="1">Scenarios!$A$1:$F$10</definedName>
    <definedName name="_xlnm._FilterDatabase" localSheetId="2" hidden="1">Sponsorship!$A$1:$F$14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E12" i="3"/>
  <c r="F9" i="3"/>
  <c r="E9" i="3"/>
  <c r="F8" i="3"/>
  <c r="E8" i="3"/>
  <c r="F7" i="3"/>
  <c r="E7" i="3"/>
  <c r="F6" i="3"/>
  <c r="E6" i="3"/>
  <c r="F5" i="3"/>
  <c r="E5" i="3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B9" i="1"/>
  <c r="B10" i="1" s="1"/>
  <c r="E19" i="2" l="1"/>
  <c r="E10" i="3"/>
  <c r="B21" i="1" s="1"/>
  <c r="F10" i="3"/>
  <c r="B20" i="1" s="1"/>
  <c r="D10" i="4"/>
  <c r="D8" i="4"/>
  <c r="D6" i="4"/>
  <c r="D9" i="4"/>
  <c r="D7" i="4"/>
  <c r="D5" i="4"/>
  <c r="B24" i="1"/>
  <c r="E13" i="3" l="1"/>
  <c r="E20" i="2"/>
  <c r="B17" i="1"/>
  <c r="B18" i="1" l="1"/>
  <c r="E21" i="2"/>
  <c r="B5" i="4" l="1"/>
  <c r="C5" i="4" s="1"/>
  <c r="E5" i="4" s="1"/>
  <c r="B6" i="4"/>
  <c r="C6" i="4" s="1"/>
  <c r="E6" i="4" s="1"/>
  <c r="B19" i="1"/>
  <c r="B7" i="4"/>
  <c r="C7" i="4" s="1"/>
  <c r="E7" i="4" s="1"/>
  <c r="B8" i="4"/>
  <c r="C8" i="4" s="1"/>
  <c r="E8" i="4" s="1"/>
  <c r="B9" i="4"/>
  <c r="C9" i="4" s="1"/>
  <c r="E9" i="4" s="1"/>
  <c r="B10" i="4"/>
  <c r="C10" i="4" s="1"/>
  <c r="E10" i="4" s="1"/>
  <c r="B22" i="1" l="1"/>
  <c r="B23" i="1" s="1"/>
  <c r="B25" i="1"/>
</calcChain>
</file>

<file path=xl/sharedStrings.xml><?xml version="1.0" encoding="utf-8"?>
<sst xmlns="http://schemas.openxmlformats.org/spreadsheetml/2006/main" count="124" uniqueCount="110">
  <si>
    <t>Event Budget Inputs</t>
  </si>
  <si>
    <t>Edit yellow cells. Blue and green cells contain formulas or calculated outputs.</t>
  </si>
  <si>
    <t>Input</t>
  </si>
  <si>
    <t>Value</t>
  </si>
  <si>
    <t>Notes</t>
  </si>
  <si>
    <t>Event name</t>
  </si>
  <si>
    <t>Stavanger Student Golf Invitational</t>
  </si>
  <si>
    <t>Name used in the workbook</t>
  </si>
  <si>
    <t>Venue</t>
  </si>
  <si>
    <t>Sola GK</t>
  </si>
  <si>
    <t>Course or venue</t>
  </si>
  <si>
    <t>Total players</t>
  </si>
  <si>
    <t>Maximum planned field</t>
  </si>
  <si>
    <t>Company share</t>
  </si>
  <si>
    <t>Share of places included in company packages</t>
  </si>
  <si>
    <t>Company players</t>
  </si>
  <si>
    <t>Calculated</t>
  </si>
  <si>
    <t>Paying students</t>
  </si>
  <si>
    <t>Contingency rate</t>
  </si>
  <si>
    <t>Applied to cash expenses</t>
  </si>
  <si>
    <t>Target cash sponsorship</t>
  </si>
  <si>
    <t>Do not include in-kind prizes</t>
  </si>
  <si>
    <t>Provisional student fee</t>
  </si>
  <si>
    <t>Public registration price</t>
  </si>
  <si>
    <t>Budget result</t>
  </si>
  <si>
    <t>Meaning</t>
  </si>
  <si>
    <t>Expense subtotal</t>
  </si>
  <si>
    <t>Before contingency</t>
  </si>
  <si>
    <t>Contingency</t>
  </si>
  <si>
    <t>Reserve for uncertainty</t>
  </si>
  <si>
    <t>Working total</t>
  </si>
  <si>
    <t>Total cash requirement</t>
  </si>
  <si>
    <t>Package revenue</t>
  </si>
  <si>
    <t>Revenue from package allocation</t>
  </si>
  <si>
    <t>Company places allocated</t>
  </si>
  <si>
    <t>Must not exceed company-player capacity</t>
  </si>
  <si>
    <t>Funding after package revenue</t>
  </si>
  <si>
    <t>Amount remaining for student fees or other income</t>
  </si>
  <si>
    <t>Break-even student fee</t>
  </si>
  <si>
    <t>Required fee using package revenue</t>
  </si>
  <si>
    <t>Projected student revenue</t>
  </si>
  <si>
    <t>At full attendance</t>
  </si>
  <si>
    <t>Projected result</t>
  </si>
  <si>
    <t>Positive is surplus; negative is funding gap</t>
  </si>
  <si>
    <t>Event Costs</t>
  </si>
  <si>
    <t>Enter quantities and unit costs. Use zero for sponsor-supplied items with no event cash expense.</t>
  </si>
  <si>
    <t>Category</t>
  </si>
  <si>
    <t>Cost item</t>
  </si>
  <si>
    <t>Quantity</t>
  </si>
  <si>
    <t>Unit cost</t>
  </si>
  <si>
    <t>Total</t>
  </si>
  <si>
    <t>Status / notes</t>
  </si>
  <si>
    <t>Fixed venue charge</t>
  </si>
  <si>
    <t>Provided; confirm scope, VAT and terms</t>
  </si>
  <si>
    <t>Golf</t>
  </si>
  <si>
    <t>Green fees</t>
  </si>
  <si>
    <t>Provided; confirm VAT and minimum commitment</t>
  </si>
  <si>
    <t>Food</t>
  </si>
  <si>
    <t>Dinner/food</t>
  </si>
  <si>
    <t>Working midpoint of NOK 400-500</t>
  </si>
  <si>
    <t>On-course refreshments</t>
  </si>
  <si>
    <t>Planning allowance</t>
  </si>
  <si>
    <t>Evening</t>
  </si>
  <si>
    <t>Dinner/afterparty room and AV</t>
  </si>
  <si>
    <t>Estimate; may be included in venue or catering</t>
  </si>
  <si>
    <t>Prizes</t>
  </si>
  <si>
    <t>Competition and main prizes</t>
  </si>
  <si>
    <t>Non-cash items supplied by sponsors</t>
  </si>
  <si>
    <t>Production</t>
  </si>
  <si>
    <t>Signs, badges, scorecards and stands</t>
  </si>
  <si>
    <t>Media</t>
  </si>
  <si>
    <t>Photographer/content</t>
  </si>
  <si>
    <t>Optional planning allowance</t>
  </si>
  <si>
    <t>Compliance</t>
  </si>
  <si>
    <t>Insurance, first aid and permits</t>
  </si>
  <si>
    <t>Confirm organizer and venue coverage</t>
  </si>
  <si>
    <t>Digital</t>
  </si>
  <si>
    <t>Website, payment and administration</t>
  </si>
  <si>
    <t>Excludes development labor</t>
  </si>
  <si>
    <t>Operations</t>
  </si>
  <si>
    <t>Event staff/volunteer expenses</t>
  </si>
  <si>
    <t>Confirm staffing plan</t>
  </si>
  <si>
    <t>Logistics</t>
  </si>
  <si>
    <t>Local transport and miscellaneous</t>
  </si>
  <si>
    <t>Other</t>
  </si>
  <si>
    <t>Other expense 1</t>
  </si>
  <si>
    <t>Unused allowance</t>
  </si>
  <si>
    <t>Other expense 2</t>
  </si>
  <si>
    <t>Subtotal</t>
  </si>
  <si>
    <t>Sponsorship Packages</t>
  </si>
  <si>
    <t>Package places are included benefits, not free event capacity. In-kind prizes are excluded from cash revenue.</t>
  </si>
  <si>
    <t>Package</t>
  </si>
  <si>
    <t>Price</t>
  </si>
  <si>
    <t>Players included</t>
  </si>
  <si>
    <t>Packages sold</t>
  </si>
  <si>
    <t>Places allocated</t>
  </si>
  <si>
    <t>Cash revenue</t>
  </si>
  <si>
    <t>Title Partner</t>
  </si>
  <si>
    <t>Company Partner</t>
  </si>
  <si>
    <t>Supporting Partner</t>
  </si>
  <si>
    <t>Additional Package</t>
  </si>
  <si>
    <t>TOTAL</t>
  </si>
  <si>
    <t>Company-player capacity</t>
  </si>
  <si>
    <t>Unallocated / overallocated places</t>
  </si>
  <si>
    <t>Direct event cost per player</t>
  </si>
  <si>
    <t>Student Fee Scenarios</t>
  </si>
  <si>
    <t>Change sponsorship values in column A to compare the required fee for paying students.</t>
  </si>
  <si>
    <t>Cash sponsorship</t>
  </si>
  <si>
    <t>Remaining funding</t>
  </si>
  <si>
    <t>Break-even fee per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</si>
</sst>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NOK&quot;"/>
  </numFmts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0" xfId="0" applyFont="1" applyFill="1" applyAlignment="1">
      <alignment wrapText="1"/>
    </xf>
    <xf numFmtId="0" fontId="0" fillId="0" borderId="1" xfId="0" applyBorder="1"/>
    <xf numFmtId="0" fontId="0" fillId="3" borderId="1" xfId="0" applyFill="1" applyBorder="1"/>
    <xf numFmtId="9" fontId="0" fillId="3" borderId="1" xfId="0" applyNumberFormat="1" applyFill="1" applyBorder="1"/>
    <xf numFmtId="0" fontId="0" fillId="4" borderId="1" xfId="0" applyFill="1" applyBorder="1"/>
    <xf numFmtId="164" fontId="0" fillId="3" borderId="1" xfId="0" applyNumberFormat="1" applyFill="1" applyBorder="1"/>
    <xf numFmtId="164" fontId="0" fillId="5" borderId="1" xfId="0" applyNumberFormat="1" applyFill="1" applyBorder="1"/>
    <xf numFmtId="0" fontId="0" fillId="5" borderId="1" xfId="0" applyFill="1" applyBorder="1"/>
    <xf numFmtId="164" fontId="0" fillId="4" borderId="1" xfId="0" applyNumberFormat="1" applyFill="1" applyBorder="1"/>
    <xf numFmtId="164" fontId="3" fillId="2" borderId="0" xfId="0" applyNumberFormat="1" applyFont="1" applyFill="1" applyAlignment="1">
      <alignment wrapText="1"/>
    </xf>
    <xf numFmtId="0" fontId="4" fillId="0" borderId="0" xfId="0" applyFont="1"/>
    <xf numFmtId="164" fontId="0" fillId="0" borderId="0" xfId="0" applyNumberFormat="1"/>
    <xf numFmtId="164" fontId="4" fillId="5" borderId="0" xfId="0" applyNumberFormat="1" applyFont="1" applyFill="1"/>
    <xf numFmtId="0" fontId="4" fillId="5" borderId="0" xfId="0" applyFont="1" applyFill="1"/>
    <xf numFmtId="0" fontId="2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5"/>
  <sheetViews>
    <sheetView showGridLines="0" tabSelected="1" workbookViewId="0">
      <pane ySplit="4" topLeftCell="A5" activePane="bottomLeft" state="frozen"/>
      <selection pane="bottomLeft" activeCell="B20" sqref="B20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3" width="58" customWidth="1"/>
  </cols>
  <sheetData>
    <row r="1" spans="1:6" ht="30" customHeight="1" x14ac:dyDescent="0.2">
      <c r="A1" s="17" t="s">
        <v>0</v>
      </c>
      <c r="B1" s="16"/>
      <c r="C1" s="16"/>
      <c r="D1" s="16"/>
      <c r="E1" s="16"/>
      <c r="F1" s="16"/>
    </row>
    <row r="2" spans="1:6" ht="32" customHeight="1" x14ac:dyDescent="0.2">
      <c r="A2" s="15" t="s">
        <v>1</v>
      </c>
      <c r="B2" s="16"/>
      <c r="C2" s="16"/>
      <c r="D2" s="16"/>
      <c r="E2" s="16"/>
      <c r="F2" s="16"/>
    </row>
    <row r="4" spans="1:6" ht="16" x14ac:dyDescent="0.2">
      <c r="A4" s="1" t="s">
        <v>2</v>
      </c>
      <c r="B4" s="1" t="s">
        <v>3</v>
      </c>
      <c r="C4" s="1" t="s">
        <v>4</v>
      </c>
    </row>
    <row r="5" spans="1:6" x14ac:dyDescent="0.2">
      <c r="A5" s="2" t="s">
        <v>5</v>
      </c>
      <c r="B5" s="3" t="s">
        <v>6</v>
      </c>
      <c r="C5" s="2" t="s">
        <v>7</v>
      </c>
    </row>
    <row r="6" spans="1:6" x14ac:dyDescent="0.2">
      <c r="A6" s="2" t="s">
        <v>8</v>
      </c>
      <c r="B6" s="3" t="s">
        <v>9</v>
      </c>
      <c r="C6" s="2" t="s">
        <v>10</v>
      </c>
    </row>
    <row r="7" spans="1:6" x14ac:dyDescent="0.2">
      <c r="A7" s="2" t="s">
        <v>11</v>
      </c>
      <c r="B7" s="3">
        <v>72</v>
      </c>
      <c r="C7" s="2" t="s">
        <v>12</v>
      </c>
    </row>
    <row r="8" spans="1:6" x14ac:dyDescent="0.2">
      <c r="A8" s="2" t="s">
        <v>13</v>
      </c>
      <c r="B8" s="4">
        <v>0.25</v>
      </c>
      <c r="C8" s="2" t="s">
        <v>14</v>
      </c>
    </row>
    <row r="9" spans="1:6" x14ac:dyDescent="0.2">
      <c r="A9" s="2" t="s">
        <v>15</v>
      </c>
      <c r="B9" s="5">
        <f>ROUND(B7*B8,0)</f>
        <v>18</v>
      </c>
      <c r="C9" s="2" t="s">
        <v>16</v>
      </c>
    </row>
    <row r="10" spans="1:6" x14ac:dyDescent="0.2">
      <c r="A10" s="2" t="s">
        <v>17</v>
      </c>
      <c r="B10" s="5">
        <f>B7-B9</f>
        <v>54</v>
      </c>
      <c r="C10" s="2" t="s">
        <v>16</v>
      </c>
    </row>
    <row r="11" spans="1:6" x14ac:dyDescent="0.2">
      <c r="A11" s="2" t="s">
        <v>18</v>
      </c>
      <c r="B11" s="4">
        <v>0.1</v>
      </c>
      <c r="C11" s="2" t="s">
        <v>19</v>
      </c>
    </row>
    <row r="12" spans="1:6" x14ac:dyDescent="0.2">
      <c r="A12" s="2" t="s">
        <v>20</v>
      </c>
      <c r="B12" s="6">
        <v>135000</v>
      </c>
      <c r="C12" s="2" t="s">
        <v>21</v>
      </c>
    </row>
    <row r="13" spans="1:6" x14ac:dyDescent="0.2">
      <c r="A13" s="2" t="s">
        <v>22</v>
      </c>
      <c r="B13" s="6">
        <v>900</v>
      </c>
      <c r="C13" s="2" t="s">
        <v>23</v>
      </c>
    </row>
    <row r="16" spans="1:6" ht="16" x14ac:dyDescent="0.2">
      <c r="A16" s="1" t="s">
        <v>24</v>
      </c>
      <c r="B16" s="1" t="s">
        <v>3</v>
      </c>
      <c r="C16" s="1" t="s">
        <v>25</v>
      </c>
    </row>
    <row r="17" spans="1:3" x14ac:dyDescent="0.2">
      <c r="A17" s="2" t="s">
        <v>26</v>
      </c>
      <c r="B17" s="7">
        <f>Costs!E19</f>
        <v>163400</v>
      </c>
      <c r="C17" s="2" t="s">
        <v>27</v>
      </c>
    </row>
    <row r="18" spans="1:3" x14ac:dyDescent="0.2">
      <c r="A18" s="2" t="s">
        <v>28</v>
      </c>
      <c r="B18" s="7">
        <f>Costs!E20</f>
        <v>16340</v>
      </c>
      <c r="C18" s="2" t="s">
        <v>29</v>
      </c>
    </row>
    <row r="19" spans="1:3" x14ac:dyDescent="0.2">
      <c r="A19" s="2" t="s">
        <v>30</v>
      </c>
      <c r="B19" s="7">
        <f>Costs!E21</f>
        <v>179740</v>
      </c>
      <c r="C19" s="2" t="s">
        <v>31</v>
      </c>
    </row>
    <row r="20" spans="1:3" x14ac:dyDescent="0.2">
      <c r="A20" s="2" t="s">
        <v>32</v>
      </c>
      <c r="B20" s="7">
        <f>Sponsorship!F10</f>
        <v>135000</v>
      </c>
      <c r="C20" s="2" t="s">
        <v>33</v>
      </c>
    </row>
    <row r="21" spans="1:3" x14ac:dyDescent="0.2">
      <c r="A21" s="2" t="s">
        <v>34</v>
      </c>
      <c r="B21" s="8">
        <f>Sponsorship!E10</f>
        <v>18</v>
      </c>
      <c r="C21" s="2" t="s">
        <v>35</v>
      </c>
    </row>
    <row r="22" spans="1:3" x14ac:dyDescent="0.2">
      <c r="A22" s="2" t="s">
        <v>36</v>
      </c>
      <c r="B22" s="7">
        <f>B19-B20</f>
        <v>44740</v>
      </c>
      <c r="C22" s="2" t="s">
        <v>37</v>
      </c>
    </row>
    <row r="23" spans="1:3" x14ac:dyDescent="0.2">
      <c r="A23" s="2" t="s">
        <v>38</v>
      </c>
      <c r="B23" s="7">
        <f>IF(B10=0,0,MAX(0,B22/B10))</f>
        <v>828.51851851851848</v>
      </c>
      <c r="C23" s="2" t="s">
        <v>39</v>
      </c>
    </row>
    <row r="24" spans="1:3" x14ac:dyDescent="0.2">
      <c r="A24" s="2" t="s">
        <v>40</v>
      </c>
      <c r="B24" s="7">
        <f>B10*B13</f>
        <v>48600</v>
      </c>
      <c r="C24" s="2" t="s">
        <v>41</v>
      </c>
    </row>
    <row r="25" spans="1:3" x14ac:dyDescent="0.2">
      <c r="A25" s="2" t="s">
        <v>42</v>
      </c>
      <c r="B25" s="7">
        <f>B20+B24-B19</f>
        <v>3860</v>
      </c>
      <c r="C25" s="2" t="s">
        <v>43</v>
      </c>
    </row>
  </sheetData>
  <autoFilter ref="A1:F25" xr:uid="{00000000-0009-0000-0000-000000000000}"/>
  <mergeCells count="2">
    <mergeCell ref="A2:F2"/>
    <mergeCell ref="A1:F1"/>
  </mergeCells>
  <conditionalFormatting sqref="B25">
    <cfRule type="cellIs" dxfId="2" priority="1" operator="lessThan">
      <formula>0</formula>
    </cfRule>
    <cfRule type="cellIs" dxfId="1" priority="2" operator="greaterThanOrEqual">
      <formula>0</formula>
    </cfRule>
  </conditionalFormatting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1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38" customWidth="1"/>
    <col min="3" max="3" width="12" customWidth="1"/>
    <col min="4" max="4" width="17" customWidth="1"/>
    <col min="5" max="5" width="19" customWidth="1"/>
    <col min="6" max="6" width="52" customWidth="1"/>
  </cols>
  <sheetData>
    <row r="1" spans="1:6" ht="30" customHeight="1" x14ac:dyDescent="0.2">
      <c r="A1" s="17" t="s">
        <v>44</v>
      </c>
      <c r="B1" s="16"/>
      <c r="C1" s="16"/>
      <c r="D1" s="16"/>
      <c r="E1" s="16"/>
      <c r="F1" s="16"/>
    </row>
    <row r="2" spans="1:6" ht="32" customHeight="1" x14ac:dyDescent="0.2">
      <c r="A2" s="15" t="s">
        <v>45</v>
      </c>
      <c r="B2" s="16"/>
      <c r="C2" s="16"/>
      <c r="D2" s="16"/>
      <c r="E2" s="16"/>
      <c r="F2" s="16"/>
    </row>
    <row r="4" spans="1:6" ht="16" x14ac:dyDescent="0.2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</row>
    <row r="5" spans="1:6" x14ac:dyDescent="0.2">
      <c r="A5" s="2" t="s">
        <v>8</v>
      </c>
      <c r="B5" s="2" t="s">
        <v>52</v>
      </c>
      <c r="C5" s="3">
        <v>1</v>
      </c>
      <c r="D5" s="6">
        <v>17000</v>
      </c>
      <c r="E5" s="9">
        <f t="shared" ref="E5:E18" si="0">C5*D5</f>
        <v>17000</v>
      </c>
      <c r="F5" s="2" t="s">
        <v>53</v>
      </c>
    </row>
    <row r="6" spans="1:6" x14ac:dyDescent="0.2">
      <c r="A6" s="2" t="s">
        <v>54</v>
      </c>
      <c r="B6" s="2" t="s">
        <v>55</v>
      </c>
      <c r="C6" s="3">
        <v>72</v>
      </c>
      <c r="D6" s="6">
        <v>900</v>
      </c>
      <c r="E6" s="9">
        <f t="shared" si="0"/>
        <v>64800</v>
      </c>
      <c r="F6" s="2" t="s">
        <v>56</v>
      </c>
    </row>
    <row r="7" spans="1:6" x14ac:dyDescent="0.2">
      <c r="A7" s="2" t="s">
        <v>57</v>
      </c>
      <c r="B7" s="2" t="s">
        <v>58</v>
      </c>
      <c r="C7" s="3">
        <v>72</v>
      </c>
      <c r="D7" s="6">
        <v>450</v>
      </c>
      <c r="E7" s="9">
        <f t="shared" si="0"/>
        <v>32400</v>
      </c>
      <c r="F7" s="2" t="s">
        <v>59</v>
      </c>
    </row>
    <row r="8" spans="1:6" x14ac:dyDescent="0.2">
      <c r="A8" s="2" t="s">
        <v>57</v>
      </c>
      <c r="B8" s="2" t="s">
        <v>60</v>
      </c>
      <c r="C8" s="3">
        <v>72</v>
      </c>
      <c r="D8" s="6">
        <v>100</v>
      </c>
      <c r="E8" s="9">
        <f t="shared" si="0"/>
        <v>7200</v>
      </c>
      <c r="F8" s="2" t="s">
        <v>61</v>
      </c>
    </row>
    <row r="9" spans="1:6" x14ac:dyDescent="0.2">
      <c r="A9" s="2" t="s">
        <v>62</v>
      </c>
      <c r="B9" s="2" t="s">
        <v>63</v>
      </c>
      <c r="C9" s="3">
        <v>1</v>
      </c>
      <c r="D9" s="6">
        <v>10000</v>
      </c>
      <c r="E9" s="9">
        <f t="shared" si="0"/>
        <v>10000</v>
      </c>
      <c r="F9" s="2" t="s">
        <v>64</v>
      </c>
    </row>
    <row r="10" spans="1:6" x14ac:dyDescent="0.2">
      <c r="A10" s="2" t="s">
        <v>65</v>
      </c>
      <c r="B10" s="2" t="s">
        <v>66</v>
      </c>
      <c r="C10" s="3">
        <v>1</v>
      </c>
      <c r="D10" s="6">
        <v>0</v>
      </c>
      <c r="E10" s="9">
        <f t="shared" si="0"/>
        <v>0</v>
      </c>
      <c r="F10" s="2" t="s">
        <v>67</v>
      </c>
    </row>
    <row r="11" spans="1:6" x14ac:dyDescent="0.2">
      <c r="A11" s="2" t="s">
        <v>68</v>
      </c>
      <c r="B11" s="2" t="s">
        <v>69</v>
      </c>
      <c r="C11" s="3">
        <v>1</v>
      </c>
      <c r="D11" s="6">
        <v>5000</v>
      </c>
      <c r="E11" s="9">
        <f t="shared" si="0"/>
        <v>5000</v>
      </c>
      <c r="F11" s="2" t="s">
        <v>61</v>
      </c>
    </row>
    <row r="12" spans="1:6" x14ac:dyDescent="0.2">
      <c r="A12" s="2" t="s">
        <v>70</v>
      </c>
      <c r="B12" s="2" t="s">
        <v>71</v>
      </c>
      <c r="C12" s="3">
        <v>1</v>
      </c>
      <c r="D12" s="6">
        <v>8000</v>
      </c>
      <c r="E12" s="9">
        <f t="shared" si="0"/>
        <v>8000</v>
      </c>
      <c r="F12" s="2" t="s">
        <v>72</v>
      </c>
    </row>
    <row r="13" spans="1:6" x14ac:dyDescent="0.2">
      <c r="A13" s="2" t="s">
        <v>73</v>
      </c>
      <c r="B13" s="2" t="s">
        <v>74</v>
      </c>
      <c r="C13" s="3">
        <v>1</v>
      </c>
      <c r="D13" s="6">
        <v>5000</v>
      </c>
      <c r="E13" s="9">
        <f t="shared" si="0"/>
        <v>5000</v>
      </c>
      <c r="F13" s="2" t="s">
        <v>75</v>
      </c>
    </row>
    <row r="14" spans="1:6" x14ac:dyDescent="0.2">
      <c r="A14" s="2" t="s">
        <v>76</v>
      </c>
      <c r="B14" s="2" t="s">
        <v>77</v>
      </c>
      <c r="C14" s="3">
        <v>1</v>
      </c>
      <c r="D14" s="6">
        <v>5000</v>
      </c>
      <c r="E14" s="9">
        <f t="shared" si="0"/>
        <v>5000</v>
      </c>
      <c r="F14" s="2" t="s">
        <v>78</v>
      </c>
    </row>
    <row r="15" spans="1:6" x14ac:dyDescent="0.2">
      <c r="A15" s="2" t="s">
        <v>79</v>
      </c>
      <c r="B15" s="2" t="s">
        <v>80</v>
      </c>
      <c r="C15" s="3">
        <v>1</v>
      </c>
      <c r="D15" s="6">
        <v>6000</v>
      </c>
      <c r="E15" s="9">
        <f t="shared" si="0"/>
        <v>6000</v>
      </c>
      <c r="F15" s="2" t="s">
        <v>81</v>
      </c>
    </row>
    <row r="16" spans="1:6" x14ac:dyDescent="0.2">
      <c r="A16" s="2" t="s">
        <v>82</v>
      </c>
      <c r="B16" s="2" t="s">
        <v>83</v>
      </c>
      <c r="C16" s="3">
        <v>1</v>
      </c>
      <c r="D16" s="6">
        <v>3000</v>
      </c>
      <c r="E16" s="9">
        <f t="shared" si="0"/>
        <v>3000</v>
      </c>
      <c r="F16" s="2" t="s">
        <v>61</v>
      </c>
    </row>
    <row r="17" spans="1:6" x14ac:dyDescent="0.2">
      <c r="A17" s="2" t="s">
        <v>84</v>
      </c>
      <c r="B17" s="2" t="s">
        <v>85</v>
      </c>
      <c r="C17" s="3">
        <v>1</v>
      </c>
      <c r="D17" s="6">
        <v>0</v>
      </c>
      <c r="E17" s="9">
        <f t="shared" si="0"/>
        <v>0</v>
      </c>
      <c r="F17" s="2" t="s">
        <v>86</v>
      </c>
    </row>
    <row r="18" spans="1:6" x14ac:dyDescent="0.2">
      <c r="A18" s="2" t="s">
        <v>84</v>
      </c>
      <c r="B18" s="2" t="s">
        <v>87</v>
      </c>
      <c r="C18" s="3">
        <v>1</v>
      </c>
      <c r="D18" s="6">
        <v>0</v>
      </c>
      <c r="E18" s="9">
        <f t="shared" si="0"/>
        <v>0</v>
      </c>
      <c r="F18" s="2" t="s">
        <v>86</v>
      </c>
    </row>
    <row r="19" spans="1:6" ht="16" x14ac:dyDescent="0.2">
      <c r="A19" s="1"/>
      <c r="B19" s="1" t="s">
        <v>88</v>
      </c>
      <c r="C19" s="1"/>
      <c r="D19" s="10"/>
      <c r="E19" s="10">
        <f>SUM(E5:E18)</f>
        <v>163400</v>
      </c>
      <c r="F19" s="1"/>
    </row>
    <row r="20" spans="1:6" x14ac:dyDescent="0.2">
      <c r="B20" s="11" t="s">
        <v>28</v>
      </c>
      <c r="D20" s="12"/>
      <c r="E20" s="13">
        <f>E19*Inputs!B11</f>
        <v>16340</v>
      </c>
    </row>
    <row r="21" spans="1:6" x14ac:dyDescent="0.2">
      <c r="B21" s="11" t="s">
        <v>30</v>
      </c>
      <c r="D21" s="12"/>
      <c r="E21" s="13">
        <f>E19+E20</f>
        <v>179740</v>
      </c>
    </row>
  </sheetData>
  <autoFilter ref="A1:F21" xr:uid="{00000000-0009-0000-0000-000001000000}"/>
  <mergeCells count="2">
    <mergeCell ref="A2:F2"/>
    <mergeCell ref="A1:F1"/>
  </mergeCells>
  <pageMargins left="0.75" right="0.75" top="1" bottom="1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4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18" customWidth="1"/>
    <col min="3" max="3" width="19" customWidth="1"/>
    <col min="4" max="4" width="17" customWidth="1"/>
    <col min="5" max="6" width="20" customWidth="1"/>
  </cols>
  <sheetData>
    <row r="1" spans="1:6" ht="30" customHeight="1" x14ac:dyDescent="0.2">
      <c r="A1" s="17" t="s">
        <v>89</v>
      </c>
      <c r="B1" s="16"/>
      <c r="C1" s="16"/>
      <c r="D1" s="16"/>
      <c r="E1" s="16"/>
      <c r="F1" s="16"/>
    </row>
    <row r="2" spans="1:6" ht="32" customHeight="1" x14ac:dyDescent="0.2">
      <c r="A2" s="15" t="s">
        <v>90</v>
      </c>
      <c r="B2" s="16"/>
      <c r="C2" s="16"/>
      <c r="D2" s="16"/>
      <c r="E2" s="16"/>
      <c r="F2" s="16"/>
    </row>
    <row r="4" spans="1:6" ht="16" x14ac:dyDescent="0.2">
      <c r="A4" s="1" t="s">
        <v>91</v>
      </c>
      <c r="B4" s="1" t="s">
        <v>92</v>
      </c>
      <c r="C4" s="1" t="s">
        <v>93</v>
      </c>
      <c r="D4" s="1" t="s">
        <v>94</v>
      </c>
      <c r="E4" s="1" t="s">
        <v>95</v>
      </c>
      <c r="F4" s="1" t="s">
        <v>96</v>
      </c>
    </row>
    <row r="5" spans="1:6" x14ac:dyDescent="0.2">
      <c r="A5" s="2" t="s">
        <v>97</v>
      </c>
      <c r="B5" s="6">
        <v>30000</v>
      </c>
      <c r="C5" s="3">
        <v>4</v>
      </c>
      <c r="D5" s="3">
        <v>1</v>
      </c>
      <c r="E5" s="5">
        <f>C5*D5</f>
        <v>4</v>
      </c>
      <c r="F5" s="9">
        <f>B5*D5</f>
        <v>30000</v>
      </c>
    </row>
    <row r="6" spans="1:6" x14ac:dyDescent="0.2">
      <c r="A6" s="2" t="s">
        <v>98</v>
      </c>
      <c r="B6" s="6">
        <v>15000</v>
      </c>
      <c r="C6" s="3">
        <v>2</v>
      </c>
      <c r="D6" s="3">
        <v>5</v>
      </c>
      <c r="E6" s="5">
        <f>C6*D6</f>
        <v>10</v>
      </c>
      <c r="F6" s="9">
        <f>B6*D6</f>
        <v>75000</v>
      </c>
    </row>
    <row r="7" spans="1:6" x14ac:dyDescent="0.2">
      <c r="A7" s="2" t="s">
        <v>99</v>
      </c>
      <c r="B7" s="6">
        <v>7500</v>
      </c>
      <c r="C7" s="3">
        <v>1</v>
      </c>
      <c r="D7" s="3">
        <v>4</v>
      </c>
      <c r="E7" s="5">
        <f>C7*D7</f>
        <v>4</v>
      </c>
      <c r="F7" s="9">
        <f>B7*D7</f>
        <v>30000</v>
      </c>
    </row>
    <row r="8" spans="1:6" x14ac:dyDescent="0.2">
      <c r="A8" s="2" t="s">
        <v>100</v>
      </c>
      <c r="B8" s="6">
        <v>0</v>
      </c>
      <c r="C8" s="3">
        <v>0</v>
      </c>
      <c r="D8" s="3">
        <v>0</v>
      </c>
      <c r="E8" s="5">
        <f>C8*D8</f>
        <v>0</v>
      </c>
      <c r="F8" s="9">
        <f>B8*D8</f>
        <v>0</v>
      </c>
    </row>
    <row r="9" spans="1:6" x14ac:dyDescent="0.2">
      <c r="A9" s="2" t="s">
        <v>100</v>
      </c>
      <c r="B9" s="6">
        <v>0</v>
      </c>
      <c r="C9" s="3">
        <v>0</v>
      </c>
      <c r="D9" s="3">
        <v>0</v>
      </c>
      <c r="E9" s="5">
        <f>C9*D9</f>
        <v>0</v>
      </c>
      <c r="F9" s="9">
        <f>B9*D9</f>
        <v>0</v>
      </c>
    </row>
    <row r="10" spans="1:6" x14ac:dyDescent="0.2">
      <c r="A10" s="14" t="s">
        <v>101</v>
      </c>
      <c r="B10" s="14"/>
      <c r="C10" s="14"/>
      <c r="D10" s="14"/>
      <c r="E10" s="14">
        <f>SUM(E5:E9)</f>
        <v>18</v>
      </c>
      <c r="F10" s="13">
        <f>SUM(F5:F9)</f>
        <v>135000</v>
      </c>
    </row>
    <row r="12" spans="1:6" x14ac:dyDescent="0.2">
      <c r="A12" t="s">
        <v>102</v>
      </c>
      <c r="E12">
        <f>Inputs!B8</f>
        <v>0.25</v>
      </c>
    </row>
    <row r="13" spans="1:6" x14ac:dyDescent="0.2">
      <c r="A13" t="s">
        <v>103</v>
      </c>
      <c r="E13">
        <f>E12-E10</f>
        <v>-17.75</v>
      </c>
    </row>
    <row r="14" spans="1:6" x14ac:dyDescent="0.2">
      <c r="A14" t="s">
        <v>104</v>
      </c>
      <c r="E14" s="12">
        <f>SUMIF(Costs!B5:B18,"Green fees",Costs!D5:D18)+SUMIF(Costs!B5:B18,"Dinner/food",Costs!D5:D18)+SUMIF(Costs!B5:B18,"On-course refreshments",Costs!D5:D18)</f>
        <v>1450</v>
      </c>
    </row>
  </sheetData>
  <autoFilter ref="A1:F14" xr:uid="{00000000-0009-0000-0000-000002000000}"/>
  <mergeCells count="2">
    <mergeCell ref="A2:F2"/>
    <mergeCell ref="A1:F1"/>
  </mergeCells>
  <conditionalFormatting sqref="E13">
    <cfRule type="cellIs" dxfId="0" priority="1" operator="lessThan">
      <formula>0</formula>
    </cfRule>
  </conditionalFormatting>
  <pageMargins left="0.75" right="0.75" top="1" bottom="1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0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0" customWidth="1"/>
    <col min="3" max="3" width="22" customWidth="1"/>
    <col min="4" max="4" width="18" customWidth="1"/>
    <col min="5" max="5" width="28" customWidth="1"/>
    <col min="6" max="6" width="35" customWidth="1"/>
  </cols>
  <sheetData>
    <row r="1" spans="1:6" ht="30" customHeight="1" x14ac:dyDescent="0.2">
      <c r="A1" s="17" t="s">
        <v>105</v>
      </c>
      <c r="B1" s="16"/>
      <c r="C1" s="16"/>
      <c r="D1" s="16"/>
      <c r="E1" s="16"/>
      <c r="F1" s="16"/>
    </row>
    <row r="2" spans="1:6" ht="32" customHeight="1" x14ac:dyDescent="0.2">
      <c r="A2" s="15" t="s">
        <v>106</v>
      </c>
      <c r="B2" s="16"/>
      <c r="C2" s="16"/>
      <c r="D2" s="16"/>
      <c r="E2" s="16"/>
      <c r="F2" s="16"/>
    </row>
    <row r="4" spans="1:6" ht="16" x14ac:dyDescent="0.2">
      <c r="A4" s="1" t="s">
        <v>107</v>
      </c>
      <c r="B4" s="1" t="s">
        <v>30</v>
      </c>
      <c r="C4" s="1" t="s">
        <v>108</v>
      </c>
      <c r="D4" s="1" t="s">
        <v>17</v>
      </c>
      <c r="E4" s="1" t="s">
        <v>109</v>
      </c>
      <c r="F4" s="1" t="s">
        <v>4</v>
      </c>
    </row>
    <row r="5" spans="1:6" x14ac:dyDescent="0.2">
      <c r="A5" s="6">
        <v>0</v>
      </c>
      <c r="B5" s="9">
        <f>Costs!E21</f>
        <v>179740</v>
      </c>
      <c r="C5" s="9">
        <f t="shared" ref="C5:C10" si="0">MAX(0,B5-A5)</f>
        <v>179740</v>
      </c>
      <c r="D5" s="2">
        <f>Inputs!B10</f>
        <v>54</v>
      </c>
      <c r="E5" s="9">
        <f t="shared" ref="E5:E10" si="1">IF(D5=0,0,C5/D5)</f>
        <v>3328.5185185185187</v>
      </c>
      <c r="F5" s="2"/>
    </row>
    <row r="6" spans="1:6" x14ac:dyDescent="0.2">
      <c r="A6" s="6">
        <v>50000</v>
      </c>
      <c r="B6" s="9">
        <f>Costs!E21</f>
        <v>179740</v>
      </c>
      <c r="C6" s="9">
        <f t="shared" si="0"/>
        <v>129740</v>
      </c>
      <c r="D6" s="2">
        <f>Inputs!B10</f>
        <v>54</v>
      </c>
      <c r="E6" s="9">
        <f t="shared" si="1"/>
        <v>2402.5925925925926</v>
      </c>
      <c r="F6" s="2"/>
    </row>
    <row r="7" spans="1:6" x14ac:dyDescent="0.2">
      <c r="A7" s="6">
        <v>75000</v>
      </c>
      <c r="B7" s="9">
        <f>Costs!E21</f>
        <v>179740</v>
      </c>
      <c r="C7" s="9">
        <f t="shared" si="0"/>
        <v>104740</v>
      </c>
      <c r="D7" s="2">
        <f>Inputs!B10</f>
        <v>54</v>
      </c>
      <c r="E7" s="9">
        <f t="shared" si="1"/>
        <v>1939.6296296296296</v>
      </c>
      <c r="F7" s="2"/>
    </row>
    <row r="8" spans="1:6" x14ac:dyDescent="0.2">
      <c r="A8" s="6">
        <v>100000</v>
      </c>
      <c r="B8" s="9">
        <f>Costs!E21</f>
        <v>179740</v>
      </c>
      <c r="C8" s="9">
        <f t="shared" si="0"/>
        <v>79740</v>
      </c>
      <c r="D8" s="2">
        <f>Inputs!B10</f>
        <v>54</v>
      </c>
      <c r="E8" s="9">
        <f t="shared" si="1"/>
        <v>1476.6666666666667</v>
      </c>
      <c r="F8" s="2"/>
    </row>
    <row r="9" spans="1:6" x14ac:dyDescent="0.2">
      <c r="A9" s="6">
        <v>125000</v>
      </c>
      <c r="B9" s="9">
        <f>Costs!E21</f>
        <v>179740</v>
      </c>
      <c r="C9" s="9">
        <f t="shared" si="0"/>
        <v>54740</v>
      </c>
      <c r="D9" s="2">
        <f>Inputs!B10</f>
        <v>54</v>
      </c>
      <c r="E9" s="9">
        <f t="shared" si="1"/>
        <v>1013.7037037037037</v>
      </c>
      <c r="F9" s="2"/>
    </row>
    <row r="10" spans="1:6" x14ac:dyDescent="0.2">
      <c r="A10" s="6">
        <v>135000</v>
      </c>
      <c r="B10" s="9">
        <f>Costs!E21</f>
        <v>179740</v>
      </c>
      <c r="C10" s="9">
        <f t="shared" si="0"/>
        <v>44740</v>
      </c>
      <c r="D10" s="2">
        <f>Inputs!B10</f>
        <v>54</v>
      </c>
      <c r="E10" s="9">
        <f t="shared" si="1"/>
        <v>828.51851851851848</v>
      </c>
      <c r="F10" s="2"/>
    </row>
  </sheetData>
  <autoFilter ref="A1:F10" xr:uid="{00000000-0009-0000-0000-000003000000}"/>
  <mergeCells count="2">
    <mergeCell ref="A2:F2"/>
    <mergeCell ref="A1:F1"/>
  </mergeCells>
  <pageMargins left="0.75" right="0.7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Costs</vt:lpstr>
      <vt:lpstr>Sponsorship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Grude-Grodem</cp:lastModifiedBy>
  <dcterms:created xsi:type="dcterms:W3CDTF">2026-07-10T09:54:40Z</dcterms:created>
  <dcterms:modified xsi:type="dcterms:W3CDTF">2026-07-14T05:12:21Z</dcterms:modified>
</cp:coreProperties>
</file>